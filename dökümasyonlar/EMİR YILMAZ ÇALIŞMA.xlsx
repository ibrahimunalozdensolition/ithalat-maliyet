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6"/>
  <workbookPr/>
  <mc:AlternateContent xmlns:mc="http://schemas.openxmlformats.org/markup-compatibility/2006">
    <mc:Choice Requires="x15">
      <x15ac:absPath xmlns:x15ac="http://schemas.microsoft.com/office/spreadsheetml/2010/11/ac" url="/Users/ibrahimunal/Projects/çin_deneme/"/>
    </mc:Choice>
  </mc:AlternateContent>
  <xr:revisionPtr revIDLastSave="0" documentId="8_{6ABF7AF3-C245-BE4F-9411-1902D4CE22A4}" xr6:coauthVersionLast="47" xr6:coauthVersionMax="47" xr10:uidLastSave="{00000000-0000-0000-0000-000000000000}"/>
  <bookViews>
    <workbookView xWindow="0" yWindow="0" windowWidth="51200" windowHeight="28800" xr2:uid="{00000000-000D-0000-FFFF-FFFF0000000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2" i="1"/>
  <c r="E2" i="1" l="1"/>
  <c r="D2" i="1"/>
  <c r="E4" i="1"/>
  <c r="D4" i="1"/>
  <c r="E3" i="1"/>
  <c r="D3" i="1"/>
  <c r="G3" i="1" l="1"/>
  <c r="H3" i="1" s="1"/>
  <c r="J3" i="1" s="1"/>
  <c r="G4" i="1"/>
  <c r="H4" i="1" s="1"/>
  <c r="J4" i="1" s="1"/>
  <c r="G2" i="1"/>
  <c r="H2" i="1" s="1"/>
  <c r="J2" i="1" s="1"/>
</calcChain>
</file>

<file path=xl/sharedStrings.xml><?xml version="1.0" encoding="utf-8"?>
<sst xmlns="http://schemas.openxmlformats.org/spreadsheetml/2006/main" count="13" uniqueCount="11">
  <si>
    <t>BRİM FİYAT</t>
  </si>
  <si>
    <t>KDV(%20)</t>
  </si>
  <si>
    <t>DAMGA VERGİSİ</t>
  </si>
  <si>
    <t>GÜMRÜĞE ÖDENECEK TOPLAM VERGİ (USD)</t>
  </si>
  <si>
    <t>CIF KIYMET(sigorta + kargo(navlun) + mal bedeli)</t>
  </si>
  <si>
    <t>gümrük vergisi (%3,7)</t>
  </si>
  <si>
    <t>İlave gümrük vergiis(%23)</t>
  </si>
  <si>
    <t>YURTİÇİ GİDERLER(ordino ücreti(yapılan işlem ups için) + ardier(depolama ücreti) + vb giderler(banka komisyonu olabilir)</t>
  </si>
  <si>
    <t xml:space="preserve">KDV MATRAHI(solda ki tüm giderler toplanıp hesaplanıyor) </t>
  </si>
  <si>
    <t>uçak</t>
  </si>
  <si>
    <t>gemi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</si>
</sst>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#,##0.000"/>
    <numFmt numFmtId="165" formatCode="#,##0.00;[Red]#,##0.00"/>
  </numFmts>
  <fonts count="1" x14ac:knownFonts="1">
    <font>
      <sz val="11"/>
      <color theme="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65" fontId="0" fillId="2" borderId="0" xfId="0" applyNumberFormat="1" applyFill="1"/>
    <xf numFmtId="165" fontId="0" fillId="2" borderId="0" xfId="0" applyNumberFormat="1" applyFill="1" applyAlignment="1">
      <alignment horizontal="center"/>
    </xf>
    <xf numFmtId="165" fontId="0" fillId="3" borderId="0" xfId="0" applyNumberForma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zoomScale="157" workbookViewId="0">
      <selection activeCell="C9" sqref="C9"/>
    </sheetView>
  </sheetViews>
  <sheetFormatPr baseColWidth="10" defaultColWidth="8.83203125" defaultRowHeight="15" x14ac:dyDescent="0.2"/>
  <cols>
    <col min="2" max="2" width="9" bestFit="1" customWidth="1"/>
    <col min="3" max="3" width="46" style="2" customWidth="1"/>
    <col min="4" max="4" width="29" style="2" customWidth="1"/>
    <col min="5" max="5" width="35.83203125" style="2" customWidth="1"/>
    <col min="6" max="6" width="81.83203125" style="2" customWidth="1"/>
    <col min="7" max="7" width="45.6640625" style="2" customWidth="1"/>
    <col min="8" max="8" width="28.83203125" customWidth="1"/>
    <col min="9" max="9" width="30.1640625" style="2" customWidth="1"/>
    <col min="10" max="10" width="38" bestFit="1" customWidth="1"/>
  </cols>
  <sheetData>
    <row r="1" spans="1:10" x14ac:dyDescent="0.2">
      <c r="A1" t="s">
        <v>9</v>
      </c>
      <c r="B1" s="1" t="s">
        <v>0</v>
      </c>
      <c r="C1" s="2" t="s">
        <v>4</v>
      </c>
      <c r="D1" s="5" t="s">
        <v>5</v>
      </c>
      <c r="E1" s="5" t="s">
        <v>6</v>
      </c>
      <c r="F1" s="2" t="s">
        <v>7</v>
      </c>
      <c r="G1" s="2" t="s">
        <v>8</v>
      </c>
      <c r="H1" s="5" t="s">
        <v>1</v>
      </c>
      <c r="I1" s="5" t="s">
        <v>2</v>
      </c>
      <c r="J1" s="4" t="s">
        <v>3</v>
      </c>
    </row>
    <row r="2" spans="1:10" x14ac:dyDescent="0.2">
      <c r="A2">
        <v>3024</v>
      </c>
      <c r="B2" s="1">
        <v>2.48</v>
      </c>
      <c r="C2" s="2">
        <f>(A2*B2)</f>
        <v>7499.5199999999995</v>
      </c>
      <c r="D2" s="5">
        <f>(C2*3.7/100)</f>
        <v>277.48223999999999</v>
      </c>
      <c r="E2" s="5">
        <f>(C2*23/100)</f>
        <v>1724.8896</v>
      </c>
      <c r="F2" s="2">
        <v>200</v>
      </c>
      <c r="G2" s="2">
        <f>(C2+D2+E29+F2)</f>
        <v>7977.0022399999998</v>
      </c>
      <c r="H2" s="6">
        <f>(G2*20/100)</f>
        <v>1595.4004480000001</v>
      </c>
      <c r="I2" s="5">
        <v>37</v>
      </c>
      <c r="J2" s="3">
        <f>(D2+E2+H2+I2)</f>
        <v>3634.7722880000001</v>
      </c>
    </row>
    <row r="3" spans="1:10" x14ac:dyDescent="0.2">
      <c r="A3">
        <v>5040</v>
      </c>
      <c r="B3" s="1">
        <v>2.4649999999999999</v>
      </c>
      <c r="C3" s="2">
        <f t="shared" ref="C3:C4" si="0">(A3*B3)</f>
        <v>12423.599999999999</v>
      </c>
      <c r="D3" s="5">
        <f t="shared" ref="D3:D4" si="1">(C3*3.7/100)</f>
        <v>459.67320000000001</v>
      </c>
      <c r="E3" s="5">
        <f t="shared" ref="E3:E4" si="2">(C3*23/100)</f>
        <v>2857.4279999999999</v>
      </c>
      <c r="F3" s="2">
        <v>250</v>
      </c>
      <c r="G3" s="2">
        <f t="shared" ref="G3:G4" si="3">(C3+D3+E30+F3)</f>
        <v>13133.273199999998</v>
      </c>
      <c r="H3" s="6">
        <f t="shared" ref="H3:H4" si="4">(G3*20/100)</f>
        <v>2626.6546399999997</v>
      </c>
      <c r="I3" s="5">
        <v>37</v>
      </c>
      <c r="J3" s="3">
        <f t="shared" ref="J3:J4" si="5">(D3+E3+H3+I3)</f>
        <v>5980.7558399999998</v>
      </c>
    </row>
    <row r="4" spans="1:10" x14ac:dyDescent="0.2">
      <c r="A4">
        <v>10032</v>
      </c>
      <c r="B4" s="1">
        <v>2.44</v>
      </c>
      <c r="C4" s="2">
        <f t="shared" si="0"/>
        <v>24478.079999999998</v>
      </c>
      <c r="D4" s="5">
        <f t="shared" si="1"/>
        <v>905.68895999999995</v>
      </c>
      <c r="E4" s="5">
        <f t="shared" si="2"/>
        <v>5629.9583999999995</v>
      </c>
      <c r="F4" s="2">
        <v>300</v>
      </c>
      <c r="G4" s="2">
        <f t="shared" si="3"/>
        <v>25683.768959999998</v>
      </c>
      <c r="H4" s="6">
        <f t="shared" si="4"/>
        <v>5136.7537919999995</v>
      </c>
      <c r="I4" s="5">
        <v>37</v>
      </c>
      <c r="J4" s="3">
        <f t="shared" si="5"/>
        <v>11709.401151999999</v>
      </c>
    </row>
    <row r="5" spans="1:10" x14ac:dyDescent="0.2">
      <c r="A5" t="s">
        <v>10</v>
      </c>
      <c r="B5" s="1" t="s">
        <v>0</v>
      </c>
      <c r="C5" s="2" t="s">
        <v>4</v>
      </c>
    </row>
    <row r="6" spans="1:10" x14ac:dyDescent="0.2">
      <c r="A6">
        <v>3024</v>
      </c>
      <c r="B6" s="1">
        <v>1.45</v>
      </c>
    </row>
    <row r="7" spans="1:10" x14ac:dyDescent="0.2">
      <c r="A7">
        <v>5040</v>
      </c>
      <c r="B7" s="1">
        <v>1.4350000000000001</v>
      </c>
    </row>
    <row r="8" spans="1:10" x14ac:dyDescent="0.2">
      <c r="A8">
        <v>10032</v>
      </c>
      <c r="B8" s="1">
        <v>1.41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Hasgül Yeşilyurt</dc:creator>
  <cp:lastModifiedBy>İbrahim ÜNAL</cp:lastModifiedBy>
  <dcterms:created xsi:type="dcterms:W3CDTF">2026-04-09T06:51:46Z</dcterms:created>
  <dcterms:modified xsi:type="dcterms:W3CDTF">2026-04-11T11:24:15Z</dcterms:modified>
</cp:coreProperties>
</file>